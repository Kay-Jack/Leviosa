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Personal Projects\Leviosa\background\TheoreticalPlots\"/>
    </mc:Choice>
  </mc:AlternateContent>
  <xr:revisionPtr revIDLastSave="0" documentId="13_ncr:1_{3E48548E-8783-40DF-81FC-AB8E3FC92DE6}" xr6:coauthVersionLast="47" xr6:coauthVersionMax="47" xr10:uidLastSave="{00000000-0000-0000-0000-000000000000}"/>
  <bookViews>
    <workbookView xWindow="-108" yWindow="-108" windowWidth="23256" windowHeight="12456" xr2:uid="{70F60A36-1F6A-4137-A42D-DB1ECF4242FE}"/>
  </bookViews>
  <sheets>
    <sheet name="Sheet1" sheetId="1" r:id="rId1"/>
  </sheets>
  <definedNames>
    <definedName name="_xlnm._FilterDatabase" localSheetId="0" hidden="1">Sheet1!$B$2:$G$22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" i="1" l="1"/>
  <c r="AB12" i="1"/>
  <c r="AB13" i="1"/>
  <c r="AB14" i="1"/>
  <c r="AB18" i="1"/>
  <c r="AA8" i="1"/>
  <c r="AA5" i="1"/>
  <c r="AA4" i="1"/>
  <c r="X10" i="1"/>
  <c r="X9" i="1"/>
  <c r="X8" i="1"/>
  <c r="X7" i="1"/>
  <c r="X6" i="1"/>
  <c r="X5" i="1"/>
  <c r="X4" i="1"/>
  <c r="X3" i="1"/>
  <c r="H29" i="1"/>
  <c r="G29" i="1"/>
  <c r="G28" i="1"/>
  <c r="D28" i="1"/>
  <c r="H28" i="1" s="1"/>
  <c r="D29" i="1"/>
  <c r="G25" i="1"/>
  <c r="D25" i="1"/>
  <c r="H25" i="1" s="1"/>
  <c r="G24" i="1"/>
  <c r="D24" i="1"/>
  <c r="H24" i="1" s="1"/>
  <c r="G27" i="1"/>
  <c r="D27" i="1"/>
  <c r="H27" i="1" s="1"/>
  <c r="G26" i="1"/>
  <c r="D26" i="1"/>
  <c r="H26" i="1" s="1"/>
  <c r="G22" i="1"/>
  <c r="G21" i="1"/>
  <c r="AB17" i="1" s="1"/>
  <c r="G20" i="1"/>
  <c r="AB16" i="1" s="1"/>
  <c r="G19" i="1"/>
  <c r="AB15" i="1" s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3" i="1"/>
  <c r="AB3" i="1" s="1"/>
  <c r="H4" i="1"/>
  <c r="H5" i="1"/>
  <c r="H6" i="1"/>
  <c r="H7" i="1"/>
  <c r="H8" i="1"/>
  <c r="H9" i="1"/>
  <c r="H10" i="1"/>
  <c r="H11" i="1"/>
  <c r="AA9" i="1" s="1"/>
  <c r="H12" i="1"/>
  <c r="AA10" i="1" s="1"/>
  <c r="H13" i="1"/>
  <c r="H14" i="1"/>
  <c r="J14" i="1" s="1"/>
  <c r="H15" i="1"/>
  <c r="J15" i="1" s="1"/>
  <c r="H16" i="1"/>
  <c r="J16" i="1" s="1"/>
  <c r="H17" i="1"/>
  <c r="I17" i="1" s="1"/>
  <c r="H18" i="1"/>
  <c r="I18" i="1" s="1"/>
  <c r="H19" i="1"/>
  <c r="AA15" i="1" s="1"/>
  <c r="H20" i="1"/>
  <c r="AA16" i="1" s="1"/>
  <c r="H21" i="1"/>
  <c r="H22" i="1"/>
  <c r="H3" i="1"/>
  <c r="O4" i="1"/>
  <c r="O5" i="1"/>
  <c r="O6" i="1"/>
  <c r="O7" i="1"/>
  <c r="O8" i="1"/>
  <c r="O9" i="1"/>
  <c r="O10" i="1"/>
  <c r="O3" i="1"/>
  <c r="I7" i="1" s="1"/>
  <c r="AA6" i="1" l="1"/>
  <c r="AA7" i="1"/>
  <c r="J11" i="1"/>
  <c r="AA11" i="1"/>
  <c r="AB11" i="1"/>
  <c r="J10" i="1"/>
  <c r="AA12" i="1"/>
  <c r="AB10" i="1"/>
  <c r="J12" i="1"/>
  <c r="J9" i="1"/>
  <c r="I16" i="1"/>
  <c r="AA13" i="1"/>
  <c r="AB9" i="1"/>
  <c r="J8" i="1"/>
  <c r="I15" i="1"/>
  <c r="AA14" i="1"/>
  <c r="AB8" i="1"/>
  <c r="J3" i="1"/>
  <c r="J7" i="1"/>
  <c r="I10" i="1"/>
  <c r="AB7" i="1"/>
  <c r="J22" i="1"/>
  <c r="J6" i="1"/>
  <c r="J20" i="1"/>
  <c r="AB6" i="1"/>
  <c r="J21" i="1"/>
  <c r="J5" i="1"/>
  <c r="J18" i="1"/>
  <c r="AA17" i="1"/>
  <c r="AB5" i="1"/>
  <c r="I20" i="1"/>
  <c r="I4" i="1"/>
  <c r="J4" i="1"/>
  <c r="AA18" i="1"/>
  <c r="AB4" i="1"/>
  <c r="I19" i="1"/>
  <c r="AA3" i="1"/>
  <c r="AB19" i="1"/>
  <c r="J19" i="1"/>
  <c r="I14" i="1"/>
  <c r="I13" i="1"/>
  <c r="J17" i="1"/>
  <c r="I12" i="1"/>
  <c r="I11" i="1"/>
  <c r="J13" i="1"/>
  <c r="I8" i="1"/>
  <c r="I22" i="1"/>
  <c r="I6" i="1"/>
  <c r="I3" i="1"/>
  <c r="I9" i="1"/>
  <c r="I5" i="1"/>
  <c r="I21" i="1"/>
</calcChain>
</file>

<file path=xl/sharedStrings.xml><?xml version="1.0" encoding="utf-8"?>
<sst xmlns="http://schemas.openxmlformats.org/spreadsheetml/2006/main" count="74" uniqueCount="28">
  <si>
    <t>sample</t>
  </si>
  <si>
    <t>magnet supplier</t>
  </si>
  <si>
    <t>min reading</t>
  </si>
  <si>
    <t>max reading</t>
  </si>
  <si>
    <t>Average Reading</t>
  </si>
  <si>
    <t>black powder coat</t>
  </si>
  <si>
    <t>new silver</t>
  </si>
  <si>
    <t>old silver</t>
  </si>
  <si>
    <t>separation [mm]</t>
  </si>
  <si>
    <t>Python Bz [T]</t>
  </si>
  <si>
    <t>newSilver</t>
  </si>
  <si>
    <t>oldSilver</t>
  </si>
  <si>
    <t>SearchKey</t>
  </si>
  <si>
    <t>Table 1</t>
  </si>
  <si>
    <t>Table 2. Magnetic fields, calculated with first pass of experiment6 in MagneticForceOnMagnet.py</t>
  </si>
  <si>
    <t>neutral reference</t>
  </si>
  <si>
    <t>-</t>
  </si>
  <si>
    <t>? 2x new silver (no offset)</t>
  </si>
  <si>
    <t>? 2x new silver (0.1mm offset)</t>
  </si>
  <si>
    <t>? 2x new silver (0.3mm offset)</t>
  </si>
  <si>
    <t>Python Bz [T] assuming sensor symmetry</t>
  </si>
  <si>
    <t>Python Bz [T] assuming sensor assymetry 0.3mm</t>
  </si>
  <si>
    <t>Table 3. Magnetic fields, calculated with second pass of experiment6 in MagneticForceOnMagnet.py (0.3mm sensor offset)</t>
  </si>
  <si>
    <t>Normalized Hall Sensor Reading</t>
  </si>
  <si>
    <t>Best Fit Line</t>
  </si>
  <si>
    <t>y=</t>
  </si>
  <si>
    <t>x</t>
  </si>
  <si>
    <t>hall sensor reading = 511.5 - 3765.2*(field strength)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</si>
</sst>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2" xfId="0" applyFont="1" applyFill="1" applyBorder="1" applyAlignment="1">
      <alignment horizontal="right" wrapText="1"/>
    </xf>
    <xf numFmtId="0" fontId="1" fillId="0" borderId="3" xfId="0" applyFont="1" applyBorder="1" applyAlignment="1">
      <alignment horizontal="left" wrapText="1"/>
    </xf>
    <xf numFmtId="0" fontId="0" fillId="0" borderId="0" xfId="0" applyBorder="1"/>
    <xf numFmtId="0" fontId="3" fillId="0" borderId="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1. Assume</a:t>
            </a:r>
            <a:r>
              <a:rPr lang="en-US" baseline="0"/>
              <a:t> symmetric hall sensor: </a:t>
            </a:r>
            <a:r>
              <a:rPr lang="en-US"/>
              <a:t>comparison of hall</a:t>
            </a:r>
            <a:r>
              <a:rPr lang="en-US" baseline="0"/>
              <a:t> sensor readings to Magnetic Field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Python Bz [T] assuming sensor symmetry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Sheet1!$G$3:$G$25</c:f>
              <c:numCache>
                <c:formatCode>General</c:formatCode>
                <c:ptCount val="23"/>
                <c:pt idx="0">
                  <c:v>402</c:v>
                </c:pt>
                <c:pt idx="1">
                  <c:v>362</c:v>
                </c:pt>
                <c:pt idx="2">
                  <c:v>379</c:v>
                </c:pt>
                <c:pt idx="3">
                  <c:v>379</c:v>
                </c:pt>
                <c:pt idx="4">
                  <c:v>359.5</c:v>
                </c:pt>
                <c:pt idx="5">
                  <c:v>290.5</c:v>
                </c:pt>
                <c:pt idx="6">
                  <c:v>217</c:v>
                </c:pt>
                <c:pt idx="7">
                  <c:v>253</c:v>
                </c:pt>
                <c:pt idx="8">
                  <c:v>251</c:v>
                </c:pt>
                <c:pt idx="9">
                  <c:v>211.5</c:v>
                </c:pt>
                <c:pt idx="10">
                  <c:v>224.5</c:v>
                </c:pt>
                <c:pt idx="11">
                  <c:v>124</c:v>
                </c:pt>
                <c:pt idx="12">
                  <c:v>170</c:v>
                </c:pt>
                <c:pt idx="13">
                  <c:v>171.5</c:v>
                </c:pt>
                <c:pt idx="14">
                  <c:v>126.5</c:v>
                </c:pt>
                <c:pt idx="15">
                  <c:v>141.5</c:v>
                </c:pt>
                <c:pt idx="16">
                  <c:v>21.5</c:v>
                </c:pt>
                <c:pt idx="17">
                  <c:v>70</c:v>
                </c:pt>
                <c:pt idx="18">
                  <c:v>79</c:v>
                </c:pt>
                <c:pt idx="19">
                  <c:v>5.5</c:v>
                </c:pt>
                <c:pt idx="20">
                  <c:v>511.5</c:v>
                </c:pt>
                <c:pt idx="21">
                  <c:v>376.86666666666667</c:v>
                </c:pt>
                <c:pt idx="22">
                  <c:v>630.93333333333328</c:v>
                </c:pt>
              </c:numCache>
            </c:numRef>
          </c:xVal>
          <c:yVal>
            <c:numRef>
              <c:f>Sheet1!$I$3:$I$25</c:f>
              <c:numCache>
                <c:formatCode>General</c:formatCode>
                <c:ptCount val="23"/>
                <c:pt idx="0">
                  <c:v>#N/A</c:v>
                </c:pt>
                <c:pt idx="1">
                  <c:v>4.3688992620800102E-2</c:v>
                </c:pt>
                <c:pt idx="2">
                  <c:v>3.7182121379404402E-2</c:v>
                </c:pt>
                <c:pt idx="3">
                  <c:v>3.7182121379404402E-2</c:v>
                </c:pt>
                <c:pt idx="4">
                  <c:v>4.3688992620800102E-2</c:v>
                </c:pt>
                <c:pt idx="5">
                  <c:v>#N/A</c:v>
                </c:pt>
                <c:pt idx="6">
                  <c:v>8.16669009317538E-2</c:v>
                </c:pt>
                <c:pt idx="7">
                  <c:v>6.9503745473833006E-2</c:v>
                </c:pt>
                <c:pt idx="8">
                  <c:v>6.9503745473833006E-2</c:v>
                </c:pt>
                <c:pt idx="9">
                  <c:v>8.16669009317538E-2</c:v>
                </c:pt>
                <c:pt idx="10">
                  <c:v>#N/A</c:v>
                </c:pt>
                <c:pt idx="11">
                  <c:v>0.103276685552725</c:v>
                </c:pt>
                <c:pt idx="12">
                  <c:v>8.78950515342347E-2</c:v>
                </c:pt>
                <c:pt idx="13">
                  <c:v>8.78950515342347E-2</c:v>
                </c:pt>
                <c:pt idx="14">
                  <c:v>0.103276685552725</c:v>
                </c:pt>
                <c:pt idx="15">
                  <c:v>#N/A</c:v>
                </c:pt>
                <c:pt idx="16">
                  <c:v>0.13250775172686699</c:v>
                </c:pt>
                <c:pt idx="17">
                  <c:v>0.112772554661163</c:v>
                </c:pt>
                <c:pt idx="18">
                  <c:v>0.112772554661163</c:v>
                </c:pt>
                <c:pt idx="19">
                  <c:v>0.13250775172686699</c:v>
                </c:pt>
                <c:pt idx="20">
                  <c:v>0</c:v>
                </c:pt>
                <c:pt idx="21">
                  <c:v>3.2987656752486098E-2</c:v>
                </c:pt>
                <c:pt idx="22">
                  <c:v>-3.2987656752486098E-2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13-4896-BA00-42A6F24B8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83616"/>
        <c:axId val="372386016"/>
      </c:scatterChart>
      <c:valAx>
        <c:axId val="37238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Hall Sensor Analog</a:t>
                </a:r>
                <a:r>
                  <a:rPr lang="en-CA" baseline="0"/>
                  <a:t> Reading E [0, 1023]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6016"/>
        <c:crosses val="autoZero"/>
        <c:crossBetween val="midCat"/>
      </c:valAx>
      <c:valAx>
        <c:axId val="3723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Magnetic Field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2. a) Iteration 1:</a:t>
            </a:r>
            <a:r>
              <a:rPr lang="en-US" baseline="0"/>
              <a:t> no offset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Sheet1!$G$23:$G$25</c:f>
              <c:numCache>
                <c:formatCode>General</c:formatCode>
                <c:ptCount val="3"/>
                <c:pt idx="0">
                  <c:v>511.5</c:v>
                </c:pt>
                <c:pt idx="1">
                  <c:v>376.86666666666667</c:v>
                </c:pt>
                <c:pt idx="2">
                  <c:v>630.93333333333328</c:v>
                </c:pt>
              </c:numCache>
            </c:numRef>
          </c:xVal>
          <c:yVal>
            <c:numRef>
              <c:f>Sheet1!$I$23:$I$25</c:f>
              <c:numCache>
                <c:formatCode>General</c:formatCode>
                <c:ptCount val="3"/>
                <c:pt idx="0">
                  <c:v>0</c:v>
                </c:pt>
                <c:pt idx="1">
                  <c:v>3.2987656752486098E-2</c:v>
                </c:pt>
                <c:pt idx="2">
                  <c:v>-3.2987656752486098E-2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AC-4E02-8AA8-C4FF82A40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83616"/>
        <c:axId val="372386016"/>
      </c:scatterChart>
      <c:valAx>
        <c:axId val="372383616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Hall Sensor Analog</a:t>
                </a:r>
                <a:r>
                  <a:rPr lang="en-CA" baseline="0"/>
                  <a:t> Reading E [0, 1023]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6016"/>
        <c:crosses val="autoZero"/>
        <c:crossBetween val="midCat"/>
      </c:valAx>
      <c:valAx>
        <c:axId val="3723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Magnetic Field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2. b) Iteration 2:</a:t>
            </a:r>
            <a:r>
              <a:rPr lang="en-US" baseline="0"/>
              <a:t> 0.1mm offset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(Sheet1!$G$23,Sheet1!$G$26:$G$27)</c:f>
              <c:numCache>
                <c:formatCode>General</c:formatCode>
                <c:ptCount val="3"/>
                <c:pt idx="0">
                  <c:v>511.5</c:v>
                </c:pt>
                <c:pt idx="1">
                  <c:v>376.86666666666667</c:v>
                </c:pt>
                <c:pt idx="2">
                  <c:v>630.93333333333328</c:v>
                </c:pt>
              </c:numCache>
            </c:numRef>
          </c:xVal>
          <c:yVal>
            <c:numRef>
              <c:f>(Sheet1!$I$23,Sheet1!$I$26:$I$27)</c:f>
              <c:numCache>
                <c:formatCode>General</c:formatCode>
                <c:ptCount val="3"/>
                <c:pt idx="0">
                  <c:v>0</c:v>
                </c:pt>
                <c:pt idx="1">
                  <c:v>3.3469133458028599E-2</c:v>
                </c:pt>
                <c:pt idx="2">
                  <c:v>-3.2515334184676302E-2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E3-433E-A24C-2C93403B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83616"/>
        <c:axId val="372386016"/>
      </c:scatterChart>
      <c:valAx>
        <c:axId val="372383616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Hall Sensor Analog</a:t>
                </a:r>
                <a:r>
                  <a:rPr lang="en-CA" baseline="0"/>
                  <a:t> Reading E [0, 1023]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6016"/>
        <c:crosses val="autoZero"/>
        <c:crossBetween val="midCat"/>
      </c:valAx>
      <c:valAx>
        <c:axId val="3723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Magnetic Field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2. c) Iteration 2:</a:t>
            </a:r>
            <a:r>
              <a:rPr lang="en-US" baseline="0"/>
              <a:t> 0.3mm offset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(Sheet1!$G$23,Sheet1!$G$28:$G$29)</c:f>
              <c:numCache>
                <c:formatCode>General</c:formatCode>
                <c:ptCount val="3"/>
                <c:pt idx="0">
                  <c:v>511.5</c:v>
                </c:pt>
                <c:pt idx="1">
                  <c:v>376.86666666666667</c:v>
                </c:pt>
                <c:pt idx="2">
                  <c:v>630.93333333333328</c:v>
                </c:pt>
              </c:numCache>
            </c:numRef>
          </c:xVal>
          <c:yVal>
            <c:numRef>
              <c:f>(Sheet1!$I$23,Sheet1!$I$28:$I$29)</c:f>
              <c:numCache>
                <c:formatCode>General</c:formatCode>
                <c:ptCount val="3"/>
                <c:pt idx="0">
                  <c:v>0</c:v>
                </c:pt>
                <c:pt idx="1">
                  <c:v>3.4460440121795603E-2</c:v>
                </c:pt>
                <c:pt idx="2">
                  <c:v>-3.1597297584467103E-2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79-46D5-AA17-5CAB953E7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83616"/>
        <c:axId val="372386016"/>
      </c:scatterChart>
      <c:valAx>
        <c:axId val="372383616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Hall Sensor Analog</a:t>
                </a:r>
                <a:r>
                  <a:rPr lang="en-CA" baseline="0"/>
                  <a:t> Reading E [0, 1023]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6016"/>
        <c:crosses val="autoZero"/>
        <c:crossBetween val="midCat"/>
      </c:valAx>
      <c:valAx>
        <c:axId val="3723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Magnetic Field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3. Assume</a:t>
            </a:r>
            <a:r>
              <a:rPr lang="en-US" baseline="0"/>
              <a:t> asymmetric hall sensor by 0.3mm: </a:t>
            </a:r>
            <a:r>
              <a:rPr lang="en-US"/>
              <a:t>comparison of hall</a:t>
            </a:r>
            <a:r>
              <a:rPr lang="en-US" baseline="0"/>
              <a:t> sensor readings to Magnetic Field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Python Bz [T] assuming sensor assymetry 0.3mm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Sheet1!$G$3:$G$25</c:f>
              <c:numCache>
                <c:formatCode>General</c:formatCode>
                <c:ptCount val="23"/>
                <c:pt idx="0">
                  <c:v>402</c:v>
                </c:pt>
                <c:pt idx="1">
                  <c:v>362</c:v>
                </c:pt>
                <c:pt idx="2">
                  <c:v>379</c:v>
                </c:pt>
                <c:pt idx="3">
                  <c:v>379</c:v>
                </c:pt>
                <c:pt idx="4">
                  <c:v>359.5</c:v>
                </c:pt>
                <c:pt idx="5">
                  <c:v>290.5</c:v>
                </c:pt>
                <c:pt idx="6">
                  <c:v>217</c:v>
                </c:pt>
                <c:pt idx="7">
                  <c:v>253</c:v>
                </c:pt>
                <c:pt idx="8">
                  <c:v>251</c:v>
                </c:pt>
                <c:pt idx="9">
                  <c:v>211.5</c:v>
                </c:pt>
                <c:pt idx="10">
                  <c:v>224.5</c:v>
                </c:pt>
                <c:pt idx="11">
                  <c:v>124</c:v>
                </c:pt>
                <c:pt idx="12">
                  <c:v>170</c:v>
                </c:pt>
                <c:pt idx="13">
                  <c:v>171.5</c:v>
                </c:pt>
                <c:pt idx="14">
                  <c:v>126.5</c:v>
                </c:pt>
                <c:pt idx="15">
                  <c:v>141.5</c:v>
                </c:pt>
                <c:pt idx="16">
                  <c:v>21.5</c:v>
                </c:pt>
                <c:pt idx="17">
                  <c:v>70</c:v>
                </c:pt>
                <c:pt idx="18">
                  <c:v>79</c:v>
                </c:pt>
                <c:pt idx="19">
                  <c:v>5.5</c:v>
                </c:pt>
                <c:pt idx="20">
                  <c:v>511.5</c:v>
                </c:pt>
                <c:pt idx="21">
                  <c:v>376.86666666666667</c:v>
                </c:pt>
                <c:pt idx="22">
                  <c:v>630.93333333333328</c:v>
                </c:pt>
              </c:numCache>
            </c:numRef>
          </c:xVal>
          <c:yVal>
            <c:numRef>
              <c:f>Sheet1!$J$3:$J$25</c:f>
              <c:numCache>
                <c:formatCode>General</c:formatCode>
                <c:ptCount val="23"/>
                <c:pt idx="0">
                  <c:v>#N/A</c:v>
                </c:pt>
                <c:pt idx="1">
                  <c:v>4.3688992620800102E-2</c:v>
                </c:pt>
                <c:pt idx="2">
                  <c:v>3.7182121379404402E-2</c:v>
                </c:pt>
                <c:pt idx="3">
                  <c:v>3.7182121379404402E-2</c:v>
                </c:pt>
                <c:pt idx="4">
                  <c:v>4.3688992620800102E-2</c:v>
                </c:pt>
                <c:pt idx="5">
                  <c:v>#N/A</c:v>
                </c:pt>
                <c:pt idx="6">
                  <c:v>8.16669009317538E-2</c:v>
                </c:pt>
                <c:pt idx="7">
                  <c:v>6.9503745473833006E-2</c:v>
                </c:pt>
                <c:pt idx="8">
                  <c:v>6.9503745473833006E-2</c:v>
                </c:pt>
                <c:pt idx="9">
                  <c:v>8.16669009317538E-2</c:v>
                </c:pt>
                <c:pt idx="10">
                  <c:v>#N/A</c:v>
                </c:pt>
                <c:pt idx="11">
                  <c:v>0.103276685552725</c:v>
                </c:pt>
                <c:pt idx="12">
                  <c:v>8.78950515342347E-2</c:v>
                </c:pt>
                <c:pt idx="13">
                  <c:v>8.78950515342347E-2</c:v>
                </c:pt>
                <c:pt idx="14">
                  <c:v>0.103276685552725</c:v>
                </c:pt>
                <c:pt idx="15">
                  <c:v>#N/A</c:v>
                </c:pt>
                <c:pt idx="16">
                  <c:v>0.13250775172686699</c:v>
                </c:pt>
                <c:pt idx="17">
                  <c:v>0.112772554661163</c:v>
                </c:pt>
                <c:pt idx="18">
                  <c:v>0.112772554661163</c:v>
                </c:pt>
                <c:pt idx="19">
                  <c:v>0.13250775172686699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16-4AE8-AE49-BF4046CD2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83616"/>
        <c:axId val="372386016"/>
      </c:scatterChart>
      <c:valAx>
        <c:axId val="37238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Hall Sensor Analog</a:t>
                </a:r>
                <a:r>
                  <a:rPr lang="en-CA" baseline="0"/>
                  <a:t> Reading E [0, 1023]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6016"/>
        <c:crosses val="autoZero"/>
        <c:crossBetween val="midCat"/>
      </c:valAx>
      <c:valAx>
        <c:axId val="37238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Magnetic Field [T]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8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Sheet1!$AB$2</c:f>
              <c:strCache>
                <c:ptCount val="1"/>
                <c:pt idx="0">
                  <c:v>Normalized Hall Sensor Reading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Sheet1!$AA$3:$AA$19</c:f>
              <c:numCache>
                <c:formatCode>General</c:formatCode>
                <c:ptCount val="17"/>
                <c:pt idx="0">
                  <c:v>4.3688992620800102E-2</c:v>
                </c:pt>
                <c:pt idx="1">
                  <c:v>3.7182121379404402E-2</c:v>
                </c:pt>
                <c:pt idx="2">
                  <c:v>3.7182121379404402E-2</c:v>
                </c:pt>
                <c:pt idx="3">
                  <c:v>4.3688992620800102E-2</c:v>
                </c:pt>
                <c:pt idx="4">
                  <c:v>8.16669009317538E-2</c:v>
                </c:pt>
                <c:pt idx="5">
                  <c:v>6.9503745473833006E-2</c:v>
                </c:pt>
                <c:pt idx="6">
                  <c:v>6.9503745473833006E-2</c:v>
                </c:pt>
                <c:pt idx="7">
                  <c:v>8.16669009317538E-2</c:v>
                </c:pt>
                <c:pt idx="8">
                  <c:v>0.103276685552725</c:v>
                </c:pt>
                <c:pt idx="9">
                  <c:v>8.78950515342347E-2</c:v>
                </c:pt>
                <c:pt idx="10">
                  <c:v>8.78950515342347E-2</c:v>
                </c:pt>
                <c:pt idx="11">
                  <c:v>0.103276685552725</c:v>
                </c:pt>
                <c:pt idx="12">
                  <c:v>0.13250775172686699</c:v>
                </c:pt>
                <c:pt idx="13">
                  <c:v>0.112772554661163</c:v>
                </c:pt>
                <c:pt idx="14">
                  <c:v>0.112772554661163</c:v>
                </c:pt>
                <c:pt idx="15">
                  <c:v>0.13250775172686699</c:v>
                </c:pt>
                <c:pt idx="16">
                  <c:v>0</c:v>
                </c:pt>
              </c:numCache>
            </c:numRef>
          </c:xVal>
          <c:yVal>
            <c:numRef>
              <c:f>Sheet1!$AB$3:$AB$19</c:f>
              <c:numCache>
                <c:formatCode>General</c:formatCode>
                <c:ptCount val="17"/>
                <c:pt idx="0">
                  <c:v>149.5</c:v>
                </c:pt>
                <c:pt idx="1">
                  <c:v>132.5</c:v>
                </c:pt>
                <c:pt idx="2">
                  <c:v>132.5</c:v>
                </c:pt>
                <c:pt idx="3">
                  <c:v>152</c:v>
                </c:pt>
                <c:pt idx="4">
                  <c:v>294.5</c:v>
                </c:pt>
                <c:pt idx="5">
                  <c:v>258.5</c:v>
                </c:pt>
                <c:pt idx="6">
                  <c:v>260.5</c:v>
                </c:pt>
                <c:pt idx="7">
                  <c:v>300</c:v>
                </c:pt>
                <c:pt idx="8">
                  <c:v>387.5</c:v>
                </c:pt>
                <c:pt idx="9">
                  <c:v>341.5</c:v>
                </c:pt>
                <c:pt idx="10">
                  <c:v>340</c:v>
                </c:pt>
                <c:pt idx="11">
                  <c:v>385</c:v>
                </c:pt>
                <c:pt idx="12">
                  <c:v>490</c:v>
                </c:pt>
                <c:pt idx="13">
                  <c:v>441.5</c:v>
                </c:pt>
                <c:pt idx="14">
                  <c:v>432.5</c:v>
                </c:pt>
                <c:pt idx="15">
                  <c:v>506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B-4468-828E-CD37390A9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396576"/>
        <c:axId val="372395136"/>
      </c:scatterChart>
      <c:valAx>
        <c:axId val="37239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95136"/>
        <c:crosses val="autoZero"/>
        <c:crossBetween val="midCat"/>
      </c:valAx>
      <c:valAx>
        <c:axId val="3723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39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584758</xdr:colOff>
      <xdr:row>10</xdr:row>
      <xdr:rowOff>20199</xdr:rowOff>
    </xdr:from>
    <xdr:to>
      <xdr:col>19</xdr:col>
      <xdr:colOff>31423</xdr:colOff>
      <xdr:row>25</xdr:row>
      <xdr:rowOff>315135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521E4BD-ED01-7656-DD2B-21E882026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18</xdr:col>
      <xdr:colOff>7620</xdr:colOff>
      <xdr:row>45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D1E23C-5969-4A29-8BB2-0BD8330C6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27</xdr:row>
      <xdr:rowOff>0</xdr:rowOff>
    </xdr:from>
    <xdr:to>
      <xdr:col>25</xdr:col>
      <xdr:colOff>7621</xdr:colOff>
      <xdr:row>45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236B9E-C570-4A71-8399-38DC9275A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0</xdr:colOff>
      <xdr:row>27</xdr:row>
      <xdr:rowOff>0</xdr:rowOff>
    </xdr:from>
    <xdr:to>
      <xdr:col>31</xdr:col>
      <xdr:colOff>7621</xdr:colOff>
      <xdr:row>45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DBEEFA-F6AE-49F3-8B8E-FB6B77C71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10</xdr:row>
      <xdr:rowOff>0</xdr:rowOff>
    </xdr:from>
    <xdr:to>
      <xdr:col>25</xdr:col>
      <xdr:colOff>581319</xdr:colOff>
      <xdr:row>25</xdr:row>
      <xdr:rowOff>294936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8080E3-C9DE-422B-B401-C2FB2C0F4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530258</xdr:colOff>
      <xdr:row>2</xdr:row>
      <xdr:rowOff>46348</xdr:rowOff>
    </xdr:from>
    <xdr:to>
      <xdr:col>36</xdr:col>
      <xdr:colOff>200320</xdr:colOff>
      <xdr:row>24</xdr:row>
      <xdr:rowOff>147484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0154DF-CF15-108F-72C9-202E3C9B5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323D-DE7C-49A0-B7F9-6AC0B232D937}">
  <dimension ref="B1:AI29"/>
  <sheetViews>
    <sheetView tabSelected="1" topLeftCell="AB1" zoomScale="99" zoomScaleNormal="150" workbookViewId="0">
      <selection activeCell="AL12" sqref="AL12"/>
    </sheetView>
  </sheetViews>
  <sheetFormatPr defaultRowHeight="14.4" x14ac:dyDescent="0.3"/>
  <cols>
    <col min="2" max="2" width="9.33203125" bestFit="1" customWidth="1"/>
    <col min="3" max="3" width="17.33203125" bestFit="1" customWidth="1"/>
    <col min="4" max="4" width="12.44140625" bestFit="1" customWidth="1"/>
    <col min="5" max="6" width="9.77734375" bestFit="1" customWidth="1"/>
    <col min="7" max="7" width="11.5546875" bestFit="1" customWidth="1"/>
    <col min="8" max="8" width="17.88671875" bestFit="1" customWidth="1"/>
    <col min="9" max="9" width="21.77734375" customWidth="1"/>
    <col min="10" max="10" width="23.109375" bestFit="1" customWidth="1"/>
    <col min="11" max="11" width="23.109375" customWidth="1"/>
    <col min="27" max="27" width="23.88671875" bestFit="1" customWidth="1"/>
    <col min="28" max="28" width="15.21875" bestFit="1" customWidth="1"/>
  </cols>
  <sheetData>
    <row r="1" spans="2:35" ht="69" customHeight="1" x14ac:dyDescent="0.3">
      <c r="B1" t="s">
        <v>13</v>
      </c>
      <c r="M1" s="10" t="s">
        <v>14</v>
      </c>
      <c r="N1" s="10"/>
      <c r="O1" s="10"/>
      <c r="P1" s="10"/>
      <c r="V1" s="10" t="s">
        <v>22</v>
      </c>
      <c r="W1" s="10"/>
      <c r="X1" s="10"/>
      <c r="Y1" s="10"/>
    </row>
    <row r="2" spans="2:35" ht="31.2" customHeight="1" x14ac:dyDescent="0.3">
      <c r="B2" s="3" t="s">
        <v>0</v>
      </c>
      <c r="C2" s="3" t="s">
        <v>1</v>
      </c>
      <c r="D2" s="3" t="s">
        <v>8</v>
      </c>
      <c r="E2" s="3" t="s">
        <v>2</v>
      </c>
      <c r="F2" s="3" t="s">
        <v>3</v>
      </c>
      <c r="G2" s="3" t="s">
        <v>4</v>
      </c>
      <c r="H2" s="3" t="s">
        <v>12</v>
      </c>
      <c r="I2" s="2" t="s">
        <v>20</v>
      </c>
      <c r="J2" s="2" t="s">
        <v>21</v>
      </c>
      <c r="K2" s="1"/>
      <c r="M2" s="2" t="s">
        <v>8</v>
      </c>
      <c r="N2" s="3" t="s">
        <v>1</v>
      </c>
      <c r="O2" s="3" t="s">
        <v>12</v>
      </c>
      <c r="P2" s="2" t="s">
        <v>9</v>
      </c>
      <c r="V2" s="2" t="s">
        <v>8</v>
      </c>
      <c r="W2" s="3" t="s">
        <v>1</v>
      </c>
      <c r="X2" s="3" t="s">
        <v>12</v>
      </c>
      <c r="Y2" s="2" t="s">
        <v>9</v>
      </c>
      <c r="AA2" s="2" t="s">
        <v>21</v>
      </c>
      <c r="AB2" s="1" t="s">
        <v>23</v>
      </c>
      <c r="AD2" s="1" t="s">
        <v>24</v>
      </c>
      <c r="AE2" s="12" t="s">
        <v>25</v>
      </c>
      <c r="AF2">
        <f>LINEST(AB3:AB19,AA3:AA19,FALSE)</f>
        <v>3765.1957797786631</v>
      </c>
      <c r="AG2" t="s">
        <v>26</v>
      </c>
      <c r="AI2" t="s">
        <v>27</v>
      </c>
    </row>
    <row r="3" spans="2:35" x14ac:dyDescent="0.3">
      <c r="B3" s="5">
        <v>1</v>
      </c>
      <c r="C3" s="6" t="s">
        <v>5</v>
      </c>
      <c r="D3" s="5">
        <v>11</v>
      </c>
      <c r="E3" s="5">
        <v>400</v>
      </c>
      <c r="F3" s="5">
        <v>404</v>
      </c>
      <c r="G3" s="5">
        <f>AVERAGE(E3:F3)</f>
        <v>402</v>
      </c>
      <c r="H3" s="5" t="str">
        <f>D3&amp;C3</f>
        <v>11black powder coat</v>
      </c>
      <c r="I3" s="4" t="e">
        <f>VLOOKUP($H3,$O$3:$P$10,2,0)</f>
        <v>#N/A</v>
      </c>
      <c r="J3" s="4" t="e">
        <f>VLOOKUP($H3,$O$3:$P$10,2,0)</f>
        <v>#N/A</v>
      </c>
      <c r="K3" s="11"/>
      <c r="M3" s="4">
        <v>6</v>
      </c>
      <c r="N3" s="4" t="s">
        <v>6</v>
      </c>
      <c r="O3" s="4" t="str">
        <f>M3&amp;N3</f>
        <v>6new silver</v>
      </c>
      <c r="P3" s="4">
        <v>0.13250775172686699</v>
      </c>
      <c r="V3" s="4">
        <v>6</v>
      </c>
      <c r="W3" t="s">
        <v>10</v>
      </c>
      <c r="X3" s="4" t="str">
        <f>V3&amp;W3</f>
        <v>6newSilver</v>
      </c>
      <c r="Y3">
        <v>0.14320387379229499</v>
      </c>
      <c r="AA3" s="4">
        <f>VLOOKUP($H4,$O$3:$P$10,2,0)</f>
        <v>4.3688992620800102E-2</v>
      </c>
      <c r="AB3" s="11">
        <f>$G$23-G4</f>
        <v>149.5</v>
      </c>
    </row>
    <row r="4" spans="2:35" x14ac:dyDescent="0.3">
      <c r="B4" s="5">
        <v>2</v>
      </c>
      <c r="C4" s="6" t="s">
        <v>6</v>
      </c>
      <c r="D4" s="5">
        <v>11</v>
      </c>
      <c r="E4" s="5">
        <v>360</v>
      </c>
      <c r="F4" s="5">
        <v>364</v>
      </c>
      <c r="G4" s="5">
        <f t="shared" ref="G4:G25" si="0">AVERAGE(E4:F4)</f>
        <v>362</v>
      </c>
      <c r="H4" s="5" t="str">
        <f t="shared" ref="H4:H25" si="1">D4&amp;C4</f>
        <v>11new silver</v>
      </c>
      <c r="I4" s="4">
        <f>VLOOKUP($H4,$O$3:$P$10,2,0)</f>
        <v>4.3688992620800102E-2</v>
      </c>
      <c r="J4" s="4">
        <f>VLOOKUP($H4,$O$3:$P$10,2,0)</f>
        <v>4.3688992620800102E-2</v>
      </c>
      <c r="K4" s="11"/>
      <c r="M4" s="4">
        <v>7</v>
      </c>
      <c r="N4" s="4" t="s">
        <v>6</v>
      </c>
      <c r="O4" s="4" t="str">
        <f t="shared" ref="O4:O10" si="2">M4&amp;N4</f>
        <v>7new silver</v>
      </c>
      <c r="P4" s="4">
        <v>0.103276685552725</v>
      </c>
      <c r="V4" s="4">
        <v>7</v>
      </c>
      <c r="W4" t="s">
        <v>10</v>
      </c>
      <c r="X4" s="4" t="str">
        <f t="shared" ref="X4:X10" si="3">V4&amp;W4</f>
        <v>7newSilver</v>
      </c>
      <c r="Y4">
        <v>0.11112342409508801</v>
      </c>
      <c r="AA4" s="4">
        <f>VLOOKUP($H5,$O$3:$P$10,2,0)</f>
        <v>3.7182121379404402E-2</v>
      </c>
      <c r="AB4" s="11">
        <f>$G$23-G5</f>
        <v>132.5</v>
      </c>
    </row>
    <row r="5" spans="2:35" x14ac:dyDescent="0.3">
      <c r="B5" s="5">
        <v>3</v>
      </c>
      <c r="C5" s="6" t="s">
        <v>7</v>
      </c>
      <c r="D5" s="5">
        <v>11</v>
      </c>
      <c r="E5" s="5">
        <v>378</v>
      </c>
      <c r="F5" s="5">
        <v>380</v>
      </c>
      <c r="G5" s="5">
        <f t="shared" si="0"/>
        <v>379</v>
      </c>
      <c r="H5" s="5" t="str">
        <f t="shared" si="1"/>
        <v>11old silver</v>
      </c>
      <c r="I5" s="4">
        <f>VLOOKUP($H5,$O$3:$P$10,2,0)</f>
        <v>3.7182121379404402E-2</v>
      </c>
      <c r="J5" s="4">
        <f>VLOOKUP($H5,$O$3:$P$10,2,0)</f>
        <v>3.7182121379404402E-2</v>
      </c>
      <c r="K5" s="11"/>
      <c r="M5" s="4">
        <v>8</v>
      </c>
      <c r="N5" s="4" t="s">
        <v>6</v>
      </c>
      <c r="O5" s="4" t="str">
        <f t="shared" si="2"/>
        <v>8new silver</v>
      </c>
      <c r="P5" s="4">
        <v>8.16669009317538E-2</v>
      </c>
      <c r="V5" s="4">
        <v>8</v>
      </c>
      <c r="W5" t="s">
        <v>10</v>
      </c>
      <c r="X5" s="4" t="str">
        <f t="shared" si="3"/>
        <v>8newSilver</v>
      </c>
      <c r="Y5">
        <v>8.7495975125493994E-2</v>
      </c>
      <c r="AA5" s="4">
        <f>VLOOKUP($H6,$O$3:$P$10,2,0)</f>
        <v>3.7182121379404402E-2</v>
      </c>
      <c r="AB5" s="11">
        <f>$G$23-G6</f>
        <v>132.5</v>
      </c>
    </row>
    <row r="6" spans="2:35" x14ac:dyDescent="0.3">
      <c r="B6" s="5">
        <v>4</v>
      </c>
      <c r="C6" s="6" t="s">
        <v>7</v>
      </c>
      <c r="D6" s="5">
        <v>11</v>
      </c>
      <c r="E6" s="5">
        <v>378</v>
      </c>
      <c r="F6" s="5">
        <v>380</v>
      </c>
      <c r="G6" s="5">
        <f t="shared" si="0"/>
        <v>379</v>
      </c>
      <c r="H6" s="5" t="str">
        <f t="shared" si="1"/>
        <v>11old silver</v>
      </c>
      <c r="I6" s="4">
        <f>VLOOKUP($H6,$O$3:$P$10,2,0)</f>
        <v>3.7182121379404402E-2</v>
      </c>
      <c r="J6" s="4">
        <f>VLOOKUP($H6,$O$3:$P$10,2,0)</f>
        <v>3.7182121379404402E-2</v>
      </c>
      <c r="K6" s="11"/>
      <c r="M6" s="4">
        <v>11</v>
      </c>
      <c r="N6" s="4" t="s">
        <v>6</v>
      </c>
      <c r="O6" s="4" t="str">
        <f t="shared" si="2"/>
        <v>11new silver</v>
      </c>
      <c r="P6" s="4">
        <v>4.3688992620800102E-2</v>
      </c>
      <c r="V6" s="4">
        <v>11</v>
      </c>
      <c r="W6" t="s">
        <v>10</v>
      </c>
      <c r="X6" s="4" t="str">
        <f t="shared" si="3"/>
        <v>11newSilver</v>
      </c>
      <c r="Y6">
        <v>4.6285784094101397E-2</v>
      </c>
      <c r="AA6" s="4">
        <f>VLOOKUP($H7,$O$3:$P$10,2,0)</f>
        <v>4.3688992620800102E-2</v>
      </c>
      <c r="AB6" s="11">
        <f>$G$23-G7</f>
        <v>152</v>
      </c>
    </row>
    <row r="7" spans="2:35" x14ac:dyDescent="0.3">
      <c r="B7" s="5">
        <v>5</v>
      </c>
      <c r="C7" s="6" t="s">
        <v>6</v>
      </c>
      <c r="D7" s="5">
        <v>11</v>
      </c>
      <c r="E7" s="5">
        <v>358</v>
      </c>
      <c r="F7" s="5">
        <v>361</v>
      </c>
      <c r="G7" s="5">
        <f t="shared" si="0"/>
        <v>359.5</v>
      </c>
      <c r="H7" s="5" t="str">
        <f t="shared" si="1"/>
        <v>11new silver</v>
      </c>
      <c r="I7" s="4">
        <f>VLOOKUP($H7,$O$3:$P$10,2,0)</f>
        <v>4.3688992620800102E-2</v>
      </c>
      <c r="J7" s="4">
        <f>VLOOKUP($H7,$O$3:$P$10,2,0)</f>
        <v>4.3688992620800102E-2</v>
      </c>
      <c r="K7" s="11"/>
      <c r="M7" s="4">
        <v>6</v>
      </c>
      <c r="N7" s="4" t="s">
        <v>7</v>
      </c>
      <c r="O7" s="4" t="str">
        <f t="shared" si="2"/>
        <v>6old silver</v>
      </c>
      <c r="P7" s="4">
        <v>0.112772554661163</v>
      </c>
      <c r="V7" s="4">
        <v>6</v>
      </c>
      <c r="W7" t="s">
        <v>11</v>
      </c>
      <c r="X7" s="4" t="str">
        <f t="shared" si="3"/>
        <v>6oldSilver</v>
      </c>
      <c r="Y7">
        <v>0.121875637270038</v>
      </c>
      <c r="AA7" s="4">
        <f>VLOOKUP($H9,$O$3:$P$10,2,0)</f>
        <v>8.16669009317538E-2</v>
      </c>
      <c r="AB7" s="11">
        <f>$G$23-G9</f>
        <v>294.5</v>
      </c>
    </row>
    <row r="8" spans="2:35" x14ac:dyDescent="0.3">
      <c r="B8" s="5">
        <v>1</v>
      </c>
      <c r="C8" s="6" t="s">
        <v>5</v>
      </c>
      <c r="D8" s="5">
        <v>8</v>
      </c>
      <c r="E8" s="5">
        <v>289</v>
      </c>
      <c r="F8" s="5">
        <v>292</v>
      </c>
      <c r="G8" s="5">
        <f t="shared" si="0"/>
        <v>290.5</v>
      </c>
      <c r="H8" s="5" t="str">
        <f t="shared" si="1"/>
        <v>8black powder coat</v>
      </c>
      <c r="I8" s="4" t="e">
        <f>VLOOKUP($H8,$O$3:$P$10,2,0)</f>
        <v>#N/A</v>
      </c>
      <c r="J8" s="4" t="e">
        <f>VLOOKUP($H8,$O$3:$P$10,2,0)</f>
        <v>#N/A</v>
      </c>
      <c r="K8" s="11"/>
      <c r="M8" s="4">
        <v>7</v>
      </c>
      <c r="N8" s="4" t="s">
        <v>7</v>
      </c>
      <c r="O8" s="4" t="str">
        <f t="shared" si="2"/>
        <v>7old silver</v>
      </c>
      <c r="P8" s="4">
        <v>8.78950515342347E-2</v>
      </c>
      <c r="V8" s="4">
        <v>7</v>
      </c>
      <c r="W8" t="s">
        <v>11</v>
      </c>
      <c r="X8" s="4" t="str">
        <f t="shared" si="3"/>
        <v>7oldSilver</v>
      </c>
      <c r="Y8">
        <v>9.4573126889437101E-2</v>
      </c>
      <c r="AA8" s="4">
        <f>VLOOKUP($H10,$O$3:$P$10,2,0)</f>
        <v>6.9503745473833006E-2</v>
      </c>
      <c r="AB8" s="11">
        <f>$G$23-G10</f>
        <v>258.5</v>
      </c>
    </row>
    <row r="9" spans="2:35" x14ac:dyDescent="0.3">
      <c r="B9" s="5">
        <v>2</v>
      </c>
      <c r="C9" s="6" t="s">
        <v>6</v>
      </c>
      <c r="D9" s="5">
        <v>8</v>
      </c>
      <c r="E9" s="5">
        <v>216</v>
      </c>
      <c r="F9" s="5">
        <v>218</v>
      </c>
      <c r="G9" s="5">
        <f t="shared" si="0"/>
        <v>217</v>
      </c>
      <c r="H9" s="5" t="str">
        <f t="shared" si="1"/>
        <v>8new silver</v>
      </c>
      <c r="I9" s="4">
        <f>VLOOKUP($H9,$O$3:$P$10,2,0)</f>
        <v>8.16669009317538E-2</v>
      </c>
      <c r="J9" s="4">
        <f>VLOOKUP($H9,$O$3:$P$10,2,0)</f>
        <v>8.16669009317538E-2</v>
      </c>
      <c r="K9" s="11"/>
      <c r="M9" s="4">
        <v>8</v>
      </c>
      <c r="N9" s="4" t="s">
        <v>7</v>
      </c>
      <c r="O9" s="4" t="str">
        <f t="shared" si="2"/>
        <v>8old silver</v>
      </c>
      <c r="P9" s="4">
        <v>6.9503745473833006E-2</v>
      </c>
      <c r="V9" s="4">
        <v>8</v>
      </c>
      <c r="W9" t="s">
        <v>11</v>
      </c>
      <c r="X9" s="4" t="str">
        <f t="shared" si="3"/>
        <v>8oldSilver</v>
      </c>
      <c r="Y9">
        <v>7.44646596812715E-2</v>
      </c>
      <c r="AA9" s="4">
        <f>VLOOKUP($H11,$O$3:$P$10,2,0)</f>
        <v>6.9503745473833006E-2</v>
      </c>
      <c r="AB9" s="11">
        <f>$G$23-G11</f>
        <v>260.5</v>
      </c>
    </row>
    <row r="10" spans="2:35" x14ac:dyDescent="0.3">
      <c r="B10" s="5">
        <v>3</v>
      </c>
      <c r="C10" s="6" t="s">
        <v>7</v>
      </c>
      <c r="D10" s="5">
        <v>8</v>
      </c>
      <c r="E10" s="5">
        <v>252</v>
      </c>
      <c r="F10" s="5">
        <v>254</v>
      </c>
      <c r="G10" s="5">
        <f t="shared" si="0"/>
        <v>253</v>
      </c>
      <c r="H10" s="5" t="str">
        <f t="shared" si="1"/>
        <v>8old silver</v>
      </c>
      <c r="I10" s="4">
        <f>VLOOKUP($H10,$O$3:$P$10,2,0)</f>
        <v>6.9503745473833006E-2</v>
      </c>
      <c r="J10" s="4">
        <f>VLOOKUP($H10,$O$3:$P$10,2,0)</f>
        <v>6.9503745473833006E-2</v>
      </c>
      <c r="K10" s="11"/>
      <c r="M10" s="4">
        <v>11</v>
      </c>
      <c r="N10" s="4" t="s">
        <v>7</v>
      </c>
      <c r="O10" s="4" t="str">
        <f t="shared" si="2"/>
        <v>11old silver</v>
      </c>
      <c r="P10" s="4">
        <v>3.7182121379404402E-2</v>
      </c>
      <c r="V10" s="4">
        <v>11</v>
      </c>
      <c r="W10" t="s">
        <v>11</v>
      </c>
      <c r="X10" s="4" t="str">
        <f t="shared" si="3"/>
        <v>11oldSilver</v>
      </c>
      <c r="Y10">
        <v>3.9392156675830903E-2</v>
      </c>
      <c r="AA10" s="4">
        <f>VLOOKUP($H12,$O$3:$P$10,2,0)</f>
        <v>8.16669009317538E-2</v>
      </c>
      <c r="AB10" s="11">
        <f>$G$23-G12</f>
        <v>300</v>
      </c>
    </row>
    <row r="11" spans="2:35" x14ac:dyDescent="0.3">
      <c r="B11" s="5">
        <v>4</v>
      </c>
      <c r="C11" s="6" t="s">
        <v>7</v>
      </c>
      <c r="D11" s="5">
        <v>8</v>
      </c>
      <c r="E11" s="5">
        <v>249</v>
      </c>
      <c r="F11" s="5">
        <v>253</v>
      </c>
      <c r="G11" s="5">
        <f t="shared" si="0"/>
        <v>251</v>
      </c>
      <c r="H11" s="5" t="str">
        <f t="shared" si="1"/>
        <v>8old silver</v>
      </c>
      <c r="I11" s="4">
        <f>VLOOKUP($H11,$O$3:$P$10,2,0)</f>
        <v>6.9503745473833006E-2</v>
      </c>
      <c r="J11" s="4">
        <f>VLOOKUP($H11,$O$3:$P$10,2,0)</f>
        <v>6.9503745473833006E-2</v>
      </c>
      <c r="K11" s="11"/>
      <c r="AA11" s="4">
        <f>VLOOKUP($H14,$O$3:$P$10,2,0)</f>
        <v>0.103276685552725</v>
      </c>
      <c r="AB11" s="11">
        <f>$G$23-G14</f>
        <v>387.5</v>
      </c>
    </row>
    <row r="12" spans="2:35" x14ac:dyDescent="0.3">
      <c r="B12" s="5">
        <v>6</v>
      </c>
      <c r="C12" s="6" t="s">
        <v>6</v>
      </c>
      <c r="D12" s="5">
        <v>8</v>
      </c>
      <c r="E12" s="5">
        <v>210</v>
      </c>
      <c r="F12" s="5">
        <v>213</v>
      </c>
      <c r="G12" s="5">
        <f t="shared" si="0"/>
        <v>211.5</v>
      </c>
      <c r="H12" s="5" t="str">
        <f t="shared" si="1"/>
        <v>8new silver</v>
      </c>
      <c r="I12" s="4">
        <f>VLOOKUP($H12,$O$3:$P$10,2,0)</f>
        <v>8.16669009317538E-2</v>
      </c>
      <c r="J12" s="4">
        <f>VLOOKUP($H12,$O$3:$P$10,2,0)</f>
        <v>8.16669009317538E-2</v>
      </c>
      <c r="K12" s="11"/>
      <c r="AA12" s="4">
        <f>VLOOKUP($H15,$O$3:$P$10,2,0)</f>
        <v>8.78950515342347E-2</v>
      </c>
      <c r="AB12" s="11">
        <f>$G$23-G15</f>
        <v>341.5</v>
      </c>
    </row>
    <row r="13" spans="2:35" x14ac:dyDescent="0.3">
      <c r="B13" s="5">
        <v>1</v>
      </c>
      <c r="C13" s="6" t="s">
        <v>5</v>
      </c>
      <c r="D13" s="5">
        <v>7</v>
      </c>
      <c r="E13" s="5">
        <v>223</v>
      </c>
      <c r="F13" s="5">
        <v>226</v>
      </c>
      <c r="G13" s="5">
        <f t="shared" si="0"/>
        <v>224.5</v>
      </c>
      <c r="H13" s="5" t="str">
        <f t="shared" si="1"/>
        <v>7black powder coat</v>
      </c>
      <c r="I13" s="4" t="e">
        <f>VLOOKUP($H13,$O$3:$P$10,2,0)</f>
        <v>#N/A</v>
      </c>
      <c r="J13" s="4" t="e">
        <f>VLOOKUP($H13,$O$3:$P$10,2,0)</f>
        <v>#N/A</v>
      </c>
      <c r="K13" s="11"/>
      <c r="AA13" s="4">
        <f>VLOOKUP($H16,$O$3:$P$10,2,0)</f>
        <v>8.78950515342347E-2</v>
      </c>
      <c r="AB13" s="11">
        <f>$G$23-G16</f>
        <v>340</v>
      </c>
    </row>
    <row r="14" spans="2:35" x14ac:dyDescent="0.3">
      <c r="B14" s="5">
        <v>2</v>
      </c>
      <c r="C14" s="6" t="s">
        <v>6</v>
      </c>
      <c r="D14" s="5">
        <v>7</v>
      </c>
      <c r="E14" s="5">
        <v>123</v>
      </c>
      <c r="F14" s="5">
        <v>125</v>
      </c>
      <c r="G14" s="5">
        <f t="shared" si="0"/>
        <v>124</v>
      </c>
      <c r="H14" s="5" t="str">
        <f t="shared" si="1"/>
        <v>7new silver</v>
      </c>
      <c r="I14" s="4">
        <f>VLOOKUP($H14,$O$3:$P$10,2,0)</f>
        <v>0.103276685552725</v>
      </c>
      <c r="J14" s="4">
        <f>VLOOKUP($H14,$O$3:$P$10,2,0)</f>
        <v>0.103276685552725</v>
      </c>
      <c r="K14" s="11"/>
      <c r="AA14" s="4">
        <f>VLOOKUP($H17,$O$3:$P$10,2,0)</f>
        <v>0.103276685552725</v>
      </c>
      <c r="AB14" s="11">
        <f>$G$23-G17</f>
        <v>385</v>
      </c>
    </row>
    <row r="15" spans="2:35" x14ac:dyDescent="0.3">
      <c r="B15" s="5">
        <v>3</v>
      </c>
      <c r="C15" s="6" t="s">
        <v>7</v>
      </c>
      <c r="D15" s="5">
        <v>7</v>
      </c>
      <c r="E15" s="5">
        <v>169</v>
      </c>
      <c r="F15" s="5">
        <v>171</v>
      </c>
      <c r="G15" s="5">
        <f t="shared" si="0"/>
        <v>170</v>
      </c>
      <c r="H15" s="5" t="str">
        <f t="shared" si="1"/>
        <v>7old silver</v>
      </c>
      <c r="I15" s="4">
        <f>VLOOKUP($H15,$O$3:$P$10,2,0)</f>
        <v>8.78950515342347E-2</v>
      </c>
      <c r="J15" s="4">
        <f>VLOOKUP($H15,$O$3:$P$10,2,0)</f>
        <v>8.78950515342347E-2</v>
      </c>
      <c r="K15" s="11"/>
      <c r="AA15" s="4">
        <f>VLOOKUP($H19,$O$3:$P$10,2,0)</f>
        <v>0.13250775172686699</v>
      </c>
      <c r="AB15" s="11">
        <f>$G$23-G19</f>
        <v>490</v>
      </c>
    </row>
    <row r="16" spans="2:35" x14ac:dyDescent="0.3">
      <c r="B16" s="5">
        <v>4</v>
      </c>
      <c r="C16" s="6" t="s">
        <v>7</v>
      </c>
      <c r="D16" s="5">
        <v>7</v>
      </c>
      <c r="E16" s="5">
        <v>170</v>
      </c>
      <c r="F16" s="5">
        <v>173</v>
      </c>
      <c r="G16" s="5">
        <f t="shared" si="0"/>
        <v>171.5</v>
      </c>
      <c r="H16" s="5" t="str">
        <f t="shared" si="1"/>
        <v>7old silver</v>
      </c>
      <c r="I16" s="4">
        <f>VLOOKUP($H16,$O$3:$P$10,2,0)</f>
        <v>8.78950515342347E-2</v>
      </c>
      <c r="J16" s="4">
        <f>VLOOKUP($H16,$O$3:$P$10,2,0)</f>
        <v>8.78950515342347E-2</v>
      </c>
      <c r="K16" s="11"/>
      <c r="AA16" s="4">
        <f>VLOOKUP($H20,$O$3:$P$10,2,0)</f>
        <v>0.112772554661163</v>
      </c>
      <c r="AB16" s="11">
        <f>$G$23-G20</f>
        <v>441.5</v>
      </c>
    </row>
    <row r="17" spans="2:31" x14ac:dyDescent="0.3">
      <c r="B17" s="5">
        <v>5</v>
      </c>
      <c r="C17" s="6" t="s">
        <v>6</v>
      </c>
      <c r="D17" s="5">
        <v>7</v>
      </c>
      <c r="E17" s="5">
        <v>125</v>
      </c>
      <c r="F17" s="5">
        <v>128</v>
      </c>
      <c r="G17" s="5">
        <f t="shared" si="0"/>
        <v>126.5</v>
      </c>
      <c r="H17" s="5" t="str">
        <f t="shared" si="1"/>
        <v>7new silver</v>
      </c>
      <c r="I17" s="4">
        <f>VLOOKUP($H17,$O$3:$P$10,2,0)</f>
        <v>0.103276685552725</v>
      </c>
      <c r="J17" s="4">
        <f>VLOOKUP($H17,$O$3:$P$10,2,0)</f>
        <v>0.103276685552725</v>
      </c>
      <c r="K17" s="11"/>
      <c r="AA17" s="4">
        <f>VLOOKUP($H21,$O$3:$P$10,2,0)</f>
        <v>0.112772554661163</v>
      </c>
      <c r="AB17" s="11">
        <f>$G$23-G21</f>
        <v>432.5</v>
      </c>
    </row>
    <row r="18" spans="2:31" x14ac:dyDescent="0.3">
      <c r="B18" s="5">
        <v>1</v>
      </c>
      <c r="C18" s="6" t="s">
        <v>5</v>
      </c>
      <c r="D18" s="5">
        <v>6</v>
      </c>
      <c r="E18" s="5">
        <v>140</v>
      </c>
      <c r="F18" s="5">
        <v>143</v>
      </c>
      <c r="G18" s="5">
        <f t="shared" si="0"/>
        <v>141.5</v>
      </c>
      <c r="H18" s="5" t="str">
        <f t="shared" si="1"/>
        <v>6black powder coat</v>
      </c>
      <c r="I18" s="4" t="e">
        <f>VLOOKUP($H18,$O$3:$P$10,2,0)</f>
        <v>#N/A</v>
      </c>
      <c r="J18" s="4" t="e">
        <f>VLOOKUP($H18,$O$3:$P$10,2,0)</f>
        <v>#N/A</v>
      </c>
      <c r="K18" s="11"/>
      <c r="AA18" s="4">
        <f>VLOOKUP($H22,$O$3:$P$10,2,0)</f>
        <v>0.13250775172686699</v>
      </c>
      <c r="AB18" s="11">
        <f>$G$23-G22</f>
        <v>506</v>
      </c>
    </row>
    <row r="19" spans="2:31" x14ac:dyDescent="0.3">
      <c r="B19" s="5">
        <v>2</v>
      </c>
      <c r="C19" s="6" t="s">
        <v>6</v>
      </c>
      <c r="D19" s="5">
        <v>6</v>
      </c>
      <c r="E19" s="5">
        <v>21</v>
      </c>
      <c r="F19" s="5">
        <v>22</v>
      </c>
      <c r="G19" s="5">
        <f t="shared" si="0"/>
        <v>21.5</v>
      </c>
      <c r="H19" s="5" t="str">
        <f t="shared" si="1"/>
        <v>6new silver</v>
      </c>
      <c r="I19" s="4">
        <f>VLOOKUP($H19,$O$3:$P$10,2,0)</f>
        <v>0.13250775172686699</v>
      </c>
      <c r="J19" s="4">
        <f>VLOOKUP($H19,$O$3:$P$10,2,0)</f>
        <v>0.13250775172686699</v>
      </c>
      <c r="K19" s="11"/>
      <c r="AA19" s="4">
        <v>0</v>
      </c>
      <c r="AB19" s="11">
        <f>$G$23-G23</f>
        <v>0</v>
      </c>
    </row>
    <row r="20" spans="2:31" x14ac:dyDescent="0.3">
      <c r="B20" s="5">
        <v>3</v>
      </c>
      <c r="C20" s="6" t="s">
        <v>7</v>
      </c>
      <c r="D20" s="5">
        <v>6</v>
      </c>
      <c r="E20" s="5">
        <v>69</v>
      </c>
      <c r="F20" s="5">
        <v>71</v>
      </c>
      <c r="G20" s="5">
        <f t="shared" si="0"/>
        <v>70</v>
      </c>
      <c r="H20" s="5" t="str">
        <f t="shared" si="1"/>
        <v>6old silver</v>
      </c>
      <c r="I20" s="4">
        <f>VLOOKUP($H20,$O$3:$P$10,2,0)</f>
        <v>0.112772554661163</v>
      </c>
      <c r="J20" s="4">
        <f>VLOOKUP($H20,$O$3:$P$10,2,0)</f>
        <v>0.112772554661163</v>
      </c>
      <c r="K20" s="11"/>
    </row>
    <row r="21" spans="2:31" x14ac:dyDescent="0.3">
      <c r="B21" s="5">
        <v>4</v>
      </c>
      <c r="C21" s="6" t="s">
        <v>7</v>
      </c>
      <c r="D21" s="5">
        <v>6</v>
      </c>
      <c r="E21" s="5">
        <v>78</v>
      </c>
      <c r="F21" s="5">
        <v>80</v>
      </c>
      <c r="G21" s="5">
        <f t="shared" si="0"/>
        <v>79</v>
      </c>
      <c r="H21" s="5" t="str">
        <f t="shared" si="1"/>
        <v>6old silver</v>
      </c>
      <c r="I21" s="4">
        <f>VLOOKUP($H21,$O$3:$P$10,2,0)</f>
        <v>0.112772554661163</v>
      </c>
      <c r="J21" s="4">
        <f>VLOOKUP($H21,$O$3:$P$10,2,0)</f>
        <v>0.112772554661163</v>
      </c>
      <c r="K21" s="11"/>
    </row>
    <row r="22" spans="2:31" x14ac:dyDescent="0.3">
      <c r="B22" s="5">
        <v>6</v>
      </c>
      <c r="C22" s="6" t="s">
        <v>6</v>
      </c>
      <c r="D22" s="5">
        <v>6</v>
      </c>
      <c r="E22" s="5">
        <v>5</v>
      </c>
      <c r="F22" s="5">
        <v>6</v>
      </c>
      <c r="G22" s="5">
        <f t="shared" si="0"/>
        <v>5.5</v>
      </c>
      <c r="H22" s="5" t="str">
        <f t="shared" si="1"/>
        <v>6new silver</v>
      </c>
      <c r="I22" s="4">
        <f>VLOOKUP($H22,$O$3:$P$10,2,0)</f>
        <v>0.13250775172686699</v>
      </c>
      <c r="J22" s="4">
        <f>VLOOKUP($H22,$O$3:$P$10,2,0)</f>
        <v>0.13250775172686699</v>
      </c>
      <c r="K22" s="11"/>
    </row>
    <row r="23" spans="2:31" x14ac:dyDescent="0.3">
      <c r="B23" s="4" t="s">
        <v>16</v>
      </c>
      <c r="C23" s="7" t="s">
        <v>15</v>
      </c>
      <c r="D23" s="4" t="s">
        <v>16</v>
      </c>
      <c r="E23" s="4" t="s">
        <v>16</v>
      </c>
      <c r="F23" s="4" t="s">
        <v>16</v>
      </c>
      <c r="G23" s="4">
        <f>1023/2</f>
        <v>511.5</v>
      </c>
      <c r="H23" s="4" t="s">
        <v>16</v>
      </c>
      <c r="I23" s="4">
        <v>0</v>
      </c>
      <c r="J23" s="4">
        <v>0</v>
      </c>
      <c r="K23" s="11"/>
    </row>
    <row r="24" spans="2:31" ht="27" x14ac:dyDescent="0.3">
      <c r="B24">
        <v>7</v>
      </c>
      <c r="C24" s="8" t="s">
        <v>17</v>
      </c>
      <c r="D24">
        <f>3+12</f>
        <v>15</v>
      </c>
      <c r="E24" s="9">
        <v>375</v>
      </c>
      <c r="F24" s="9">
        <v>379</v>
      </c>
      <c r="G24" s="5">
        <f>(379+377+377+376+378+377+377+376+376+377+375+377+377+376+378)/15</f>
        <v>376.86666666666667</v>
      </c>
      <c r="H24" s="5" t="str">
        <f t="shared" si="1"/>
        <v>15? 2x new silver (no offset)</v>
      </c>
      <c r="I24">
        <v>3.2987656752486098E-2</v>
      </c>
      <c r="AE24" s="11"/>
    </row>
    <row r="25" spans="2:31" ht="27" x14ac:dyDescent="0.3">
      <c r="B25">
        <v>7</v>
      </c>
      <c r="C25" s="8" t="s">
        <v>17</v>
      </c>
      <c r="D25">
        <f>3+12</f>
        <v>15</v>
      </c>
      <c r="E25" s="9">
        <v>630</v>
      </c>
      <c r="F25" s="9">
        <v>632</v>
      </c>
      <c r="G25" s="5">
        <f>(632+630+631+631+631+630+631+632+630+632+632+630+631+631+630)/15</f>
        <v>630.93333333333328</v>
      </c>
      <c r="H25" s="5" t="str">
        <f t="shared" si="1"/>
        <v>15? 2x new silver (no offset)</v>
      </c>
      <c r="I25">
        <v>-3.2987656752486098E-2</v>
      </c>
      <c r="AE25" s="11"/>
    </row>
    <row r="26" spans="2:31" ht="27" x14ac:dyDescent="0.3">
      <c r="B26">
        <v>7</v>
      </c>
      <c r="C26" s="8" t="s">
        <v>18</v>
      </c>
      <c r="D26">
        <f>3+12</f>
        <v>15</v>
      </c>
      <c r="E26" s="9">
        <v>375</v>
      </c>
      <c r="F26" s="9">
        <v>379</v>
      </c>
      <c r="G26" s="5">
        <f>(379+377+377+376+378+377+377+376+376+377+375+377+377+376+378)/15</f>
        <v>376.86666666666667</v>
      </c>
      <c r="H26" s="5" t="str">
        <f t="shared" ref="H26:H27" si="4">D26&amp;C26</f>
        <v>15? 2x new silver (0.1mm offset)</v>
      </c>
      <c r="I26">
        <v>3.3469133458028599E-2</v>
      </c>
    </row>
    <row r="27" spans="2:31" ht="27" x14ac:dyDescent="0.3">
      <c r="B27">
        <v>7</v>
      </c>
      <c r="C27" s="8" t="s">
        <v>18</v>
      </c>
      <c r="D27">
        <f>3+12</f>
        <v>15</v>
      </c>
      <c r="E27" s="9">
        <v>630</v>
      </c>
      <c r="F27" s="9">
        <v>632</v>
      </c>
      <c r="G27" s="5">
        <f>(632+630+631+631+631+630+631+632+630+632+632+630+631+631+630)/15</f>
        <v>630.93333333333328</v>
      </c>
      <c r="H27" s="5" t="str">
        <f t="shared" si="4"/>
        <v>15? 2x new silver (0.1mm offset)</v>
      </c>
      <c r="I27">
        <v>-3.2515334184676302E-2</v>
      </c>
    </row>
    <row r="28" spans="2:31" ht="27" x14ac:dyDescent="0.3">
      <c r="B28">
        <v>7</v>
      </c>
      <c r="C28" s="8" t="s">
        <v>19</v>
      </c>
      <c r="D28">
        <f t="shared" ref="D28:D29" si="5">3+12</f>
        <v>15</v>
      </c>
      <c r="E28" s="9">
        <v>375</v>
      </c>
      <c r="F28" s="9">
        <v>379</v>
      </c>
      <c r="G28" s="5">
        <f>(379+377+377+376+378+377+377+376+376+377+375+377+377+376+378)/15</f>
        <v>376.86666666666667</v>
      </c>
      <c r="H28" s="5" t="str">
        <f t="shared" ref="H28:H29" si="6">D28&amp;C28</f>
        <v>15? 2x new silver (0.3mm offset)</v>
      </c>
      <c r="I28">
        <v>3.4460440121795603E-2</v>
      </c>
    </row>
    <row r="29" spans="2:31" ht="27" x14ac:dyDescent="0.3">
      <c r="B29">
        <v>7</v>
      </c>
      <c r="C29" s="8" t="s">
        <v>19</v>
      </c>
      <c r="D29">
        <f t="shared" si="5"/>
        <v>15</v>
      </c>
      <c r="E29" s="9">
        <v>630</v>
      </c>
      <c r="F29" s="9">
        <v>632</v>
      </c>
      <c r="G29" s="5">
        <f>(632+630+631+631+631+630+631+632+630+632+632+630+631+631+630)/15</f>
        <v>630.93333333333328</v>
      </c>
      <c r="H29" s="5" t="str">
        <f t="shared" si="6"/>
        <v>15? 2x new silver (0.3mm offset)</v>
      </c>
      <c r="I29">
        <v>-3.1597297584467103E-2</v>
      </c>
    </row>
  </sheetData>
  <autoFilter ref="B2:G22" xr:uid="{A786323D-DE7C-49A0-B7F9-6AC0B232D937}"/>
  <mergeCells count="2">
    <mergeCell ref="M1:P1"/>
    <mergeCell ref="V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Wijaya</dc:creator>
  <cp:lastModifiedBy>Daniel Wijaya</cp:lastModifiedBy>
  <dcterms:created xsi:type="dcterms:W3CDTF">2025-05-13T11:59:28Z</dcterms:created>
  <dcterms:modified xsi:type="dcterms:W3CDTF">2025-05-15T01:19:42Z</dcterms:modified>
</cp:coreProperties>
</file>